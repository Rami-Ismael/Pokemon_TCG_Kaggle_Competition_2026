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rpus &amp; Field Decks" sheetId="2" state="visible" r:id="rId4"/>
    <sheet name="Familiarity Audit" sheetId="3" state="visible" r:id="rId5"/>
    <sheet name="Raw Counts" sheetId="4" state="visible" r:id="rId6"/>
    <sheet name="Deck x Opponent Matrix" sheetId="5" state="visible" r:id="rId7"/>
    <sheet name="Learnability (Step 4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<sst xmlns="http://schemas.openxmlformats.org/spreadsheetml/2006/main" count="175" uniqueCount="110">
  <si>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Deck selection -- Pokemon TCG AI Battle Challenge</t>
  </si>
  <si>
    <t xml:space="preserve">Deck identity key: ace/carry Pokemon -- the Pokemon card maximizing</t>
  </si>
  <si>
    <t xml:space="preserve">(evolution_stage + ex/megaEx bonus, copy_count) in the 60-card list. Chosen over the exact</t>
  </si>
  <si>
    <t xml:space="preserve">60-card multiset because the multiset over-fragments (rule_baseline's actual runtime deck</t>
  </si>
  <si>
    <t xml:space="preserve">differs card-for-card from il_agent's own 'same' Mega Lucario ex deck), while ace/carry</t>
  </si>
  <si>
    <t xml:space="preserve">Pokemon is the granularity this repo's own field decks are already named at.</t>
  </si>
  <si>
    <t xml:space="preserve">Familiarity floor: &gt;=150 training episodes (~28,500 decisions at the corpus-wide average</t>
  </si>
  <si>
    <t xml:space="preserve">of 190 decisions/episode). Sits in a natural gap: lowest deck above it (Dragapult ex, 318 eps)</t>
  </si>
  <si>
    <t xml:space="preserve">has ~3x the next-highest deck below it (Thwackey, 111 eps).</t>
  </si>
  <si>
    <t xml:space="preserve">Policy checkpoint held fixed across every deck arm: il_agent (the repo's trained BC transformer,</t>
  </si>
  <si>
    <t xml:space="preserve">models/il_agent). Only the 60-card list it submits at the deck-selection step varies -- the model</t>
  </si>
  <si>
    <t xml:space="preserve">weights and code are byte-identical across every il_agent@&lt;deck&gt; arm below.</t>
  </si>
  <si>
    <t xml:space="preserve">Opponent pool: the 7 public-roster agents (kiyotah_dragapult, kiyotah_iono, kiyotah_abomasnow,</t>
  </si>
  <si>
    <t xml:space="preserve">dedquoc_rule_engine, ryotasueyoshi_alakazam, makthanithin_improved_prob, mechi22_alakazam) plus</t>
  </si>
  <si>
    <t xml:space="preserve">random_legal as a floor check. NOT our own agents -- beating our own baselines is not evidence</t>
  </si>
  <si>
    <t xml:space="preserve">about the ladder.</t>
  </si>
  <si>
    <t xml:space="preserve">Isolation: this run used --no-glicko-persist. The synthetic il_agent@&lt;deck&gt; identities were never</t>
  </si>
  <si>
    <t xml:space="preserve">written to reports/glicko_ratings.json -- they do not exist on the ladder and must not pollute the</t>
  </si>
  <si>
    <t xml:space="preserve">standing competitive ratings.</t>
  </si>
  <si>
    <t xml:space="preserve">THE ONE SENTENCE:</t>
  </si>
  <si>
    <t xml:space="preserve">The agent should pilot Marnie's Grimmsnarl ex, because against the public field it wins</t>
  </si>
  <si>
    <t xml:space="preserve">78.4% +/- 2.3% (251/320 games), and 3488 training episodes back that deck -- the largest</t>
  </si>
  <si>
    <t xml:space="preserve">in the corpus -- vs. 1 training episode for Mega Lucario ex, the deck it currently pilots,</t>
  </si>
  <si>
    <t xml:space="preserve">which wins only 29.7% +/- 2.6% against the identical opponent pool with the identical policy.</t>
  </si>
  <si>
    <t xml:space="preserve">CAVEAT: Grimmsnarl ex is NOT significantly separated (95% CI overlaps) from Team Rocket's</t>
  </si>
  <si>
    <t xml:space="preserve">Spidops (73.8%) or Cynthia's Garchomp ex (70.9%) at this sample size -- see the Matrix sheet</t>
  </si>
  <si>
    <t xml:space="preserve">for the full pairwise-separation analysis and the N needed to separate them. What IS fully</t>
  </si>
  <si>
    <t xml:space="preserve">decisive: every measured alternative beats the Mega Lucario ex control by 15-49pp, each with</t>
  </si>
  <si>
    <t xml:space="preserve">a non-overlapping 95% CI.</t>
  </si>
  <si>
    <t xml:space="preserve">Table 1: Corpus decks (splits/train-2026-07-26, 4554 episodes, ace/carry Pokemon identity)</t>
  </si>
  <si>
    <t xml:space="preserve">Ace / carry Pokemon</t>
  </si>
  <si>
    <t xml:space="preserve">Episodes (distinct)</t>
  </si>
  <si>
    <t xml:space="preserve">Deck-instances (both seats)</t>
  </si>
  <si>
    <t xml:space="preserve">Distinct exact 60-card multisets</t>
  </si>
  <si>
    <t xml:space="preserve">Marnie's Grimmsnarl ex</t>
  </si>
  <si>
    <t xml:space="preserve">Alakazam</t>
  </si>
  <si>
    <t xml:space="preserve">Team Rocket's Spidops</t>
  </si>
  <si>
    <t xml:space="preserve">Cynthia's Garchomp ex</t>
  </si>
  <si>
    <t xml:space="preserve">Mega Kangaskhan ex</t>
  </si>
  <si>
    <t xml:space="preserve">Dragapult ex</t>
  </si>
  <si>
    <t xml:space="preserve">Thwackey</t>
  </si>
  <si>
    <t xml:space="preserve">Crustle</t>
  </si>
  <si>
    <t xml:space="preserve">Mega Lopunny ex</t>
  </si>
  <si>
    <t xml:space="preserve">Mega Froslass ex</t>
  </si>
  <si>
    <t xml:space="preserve">Cornerstone Mask Ogerpon ex</t>
  </si>
  <si>
    <t xml:space="preserve">N’s Zoroark ex</t>
  </si>
  <si>
    <t xml:space="preserve">Archaludon ex</t>
  </si>
  <si>
    <t xml:space="preserve">Mega Starmie ex</t>
  </si>
  <si>
    <t xml:space="preserve">Brambleghast</t>
  </si>
  <si>
    <t xml:space="preserve">Mega Sharpedo ex</t>
  </si>
  <si>
    <t xml:space="preserve">Mega Lucario ex</t>
  </si>
  <si>
    <t xml:space="preserve">Table 2: Field decks (9 agents/*/deck.csv + rule_baseline runtime deck)</t>
  </si>
  <si>
    <t xml:space="preserve">Pool agent(s)</t>
  </si>
  <si>
    <t xml:space="preserve">rule_baseline, il_agent, random_legal, dedquoc_rule_engine, grunt, improved_prob_main, makthanithin_improved_prob</t>
  </si>
  <si>
    <t xml:space="preserve">ryotasueyoshi_alakazam, mechi22_alakazam</t>
  </si>
  <si>
    <t xml:space="preserve">kiyotah_dragapult</t>
  </si>
  <si>
    <t xml:space="preserve">Mega Abomasnow ex</t>
  </si>
  <si>
    <t xml:space="preserve">kiyotah_abomasnow</t>
  </si>
  <si>
    <t xml:space="preserve">Iono's Bellibolt ex</t>
  </si>
  <si>
    <t xml:space="preserve">kiyotah_iono</t>
  </si>
  <si>
    <t xml:space="preserve">5-minute question: rule_baseline pilots Mega Lucario ex (loaded at runtime from submissions/mega_lucario/deck.csv).</t>
  </si>
  <si>
    <t xml:space="preserve">Note: repo-root deck.csv does not exist -- a stale claim in the ptcg-repo-context skill, flagged not trusted.</t>
  </si>
  <si>
    <t xml:space="preserve">Floor: &gt;= 150 training episodes (natural gap between Dragapult ex, 318, and Thwackey, 111)</t>
  </si>
  <si>
    <t xml:space="preserve">Episodes</t>
  </si>
  <si>
    <t xml:space="preserve">Status</t>
  </si>
  <si>
    <t xml:space="preserve">measured</t>
  </si>
  <si>
    <t xml:space="preserve">UNMEASURED</t>
  </si>
  <si>
    <t xml:space="preserve">Deck arm (il_agent policy, deck overridden)</t>
  </si>
  <si>
    <t xml:space="preserve">kiyotah_dragapult wins</t>
  </si>
  <si>
    <t xml:space="preserve">kiyotah_iono wins</t>
  </si>
  <si>
    <t xml:space="preserve">kiyotah_abomasnow wins</t>
  </si>
  <si>
    <t xml:space="preserve">dedquoc_rule_engine wins</t>
  </si>
  <si>
    <t xml:space="preserve">ryotasueyoshi_alakazam wins</t>
  </si>
  <si>
    <t xml:space="preserve">makthanithin_improved_prob wins</t>
  </si>
  <si>
    <t xml:space="preserve">mechi22_alakazam wins</t>
  </si>
  <si>
    <t xml:space="preserve">random_legal wins</t>
  </si>
  <si>
    <t xml:space="preserve">kiyotah_dragapult games</t>
  </si>
  <si>
    <t xml:space="preserve">kiyotah_iono games</t>
  </si>
  <si>
    <t xml:space="preserve">kiyotah_abomasnow games</t>
  </si>
  <si>
    <t xml:space="preserve">dedquoc_rule_engine games</t>
  </si>
  <si>
    <t xml:space="preserve">ryotasueyoshi_alakazam games</t>
  </si>
  <si>
    <t xml:space="preserve">makthanithin_improved_prob games</t>
  </si>
  <si>
    <t xml:space="preserve">mechi22_alakazam games</t>
  </si>
  <si>
    <t xml:space="preserve">random_legal games</t>
  </si>
  <si>
    <t xml:space="preserve">Mega Lucario ex (control)</t>
  </si>
  <si>
    <t xml:space="preserve">Source: reports/deck_selection_benchmark.json (scripts/benchmark_agents.py --games 20 --no-glicko-persist)</t>
  </si>
  <si>
    <t xml:space="preserve">Deck</t>
  </si>
  <si>
    <t xml:space="preserve">Corpus episodes (Table, Familiarity Audit sheet)</t>
  </si>
  <si>
    <t xml:space="preserve">dedquoc_rule_engine</t>
  </si>
  <si>
    <t xml:space="preserve">ryotasueyoshi_alakazam</t>
  </si>
  <si>
    <t xml:space="preserve">makthanithin_improved_prob</t>
  </si>
  <si>
    <t xml:space="preserve">mechi22_alakazam</t>
  </si>
  <si>
    <t xml:space="preserve">random_legal</t>
  </si>
  <si>
    <t xml:space="preserve">vs-field win % </t>
  </si>
  <si>
    <t xml:space="preserve">vs-field sigma %</t>
  </si>
  <si>
    <t xml:space="preserve">vs-field games (n)</t>
  </si>
  <si>
    <t xml:space="preserve">Cells = win% +/- sigma (SE = sqrt(p(1-p)/n)), mirrored pairs, --games 20 (40 games/cross-cell), --no-glicko-persist.</t>
  </si>
  <si>
    <t xml:space="preserve">Pairwise 95% CI separation: every deck arm above is separated from the Mega Lucario ex control (non-overlapping CIs, gap 15-49pp).</t>
  </si>
  <si>
    <t xml:space="preserve">NOT separated at this N: Grimmsnarl ex vs Spidops vs Garchomp ex vs Alakazam (adjacent-rank 95% CIs overlap). Grimmsnarl ex IS separated from Alakazam (non-adjacent, CI [73.9,82.9] vs [62.7,72.9]).</t>
  </si>
  <si>
    <t xml:space="preserve">vs-field win % (Matrix sheet)</t>
  </si>
  <si>
    <t xml:space="preserve">Win-rate rank</t>
  </si>
  <si>
    <t xml:space="preserve">Self-consistency (sample)</t>
  </si>
  <si>
    <t xml:space="preserve">Learnability rank</t>
  </si>
  <si>
    <t xml:space="preserve">Mean entropy (nats)</t>
  </si>
  <si>
    <t xml:space="preserve">Sample: episodes / decisions</t>
  </si>
  <si>
    <t xml:space="preserve">40 eps / 600 decisions</t>
  </si>
  <si>
    <t xml:space="preserve">FINDING: orderings disagree (Spearman rho ~ 0.26, weak).</t>
  </si>
  <si>
    <t xml:space="preserve">Mega Kangaskhan ex ranks 3rd on learnability (self-consistency 0.765) despite ranking LAST on win-rate (45.0%) among measured decks -- the model imitates its training demonstrations confidently, but that strategy still loses to the field.</t>
  </si>
  <si>
    <t xml:space="preserve">Cynthia's Garchomp ex is the inverse: LAST on learnability (self-consistency 0.655, highest entropy 0.878) yet 3rd on win-rate (70.9%) -- the model is least confident/consistent on this deck's decisions, yet still wins against the field.</t>
  </si>
  <si>
    <t xml:space="preserve">Learnability sampled 40 episodes / 600 decisions per deck (fixed seed=42), not the full corpus -- a compute-budget choice, not a full census.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</si>
</sst>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1" t="s">
        <v>19</v>
      </c>
    </row>
    <row r="27" customFormat="false" ht="15" hidden="false" customHeight="false" outlineLevel="0" collapsed="false">
      <c r="A27" s="2" t="s">
        <v>20</v>
      </c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 t="s">
        <v>24</v>
      </c>
    </row>
    <row r="33" customFormat="false" ht="15" hidden="false" customHeight="false" outlineLevel="0" collapsed="false">
      <c r="A33" s="2" t="s">
        <v>25</v>
      </c>
    </row>
    <row r="34" customFormat="false" ht="15" hidden="false" customHeight="false" outlineLevel="0" collapsed="false">
      <c r="A34" s="2" t="s">
        <v>26</v>
      </c>
    </row>
    <row r="35" customFormat="false" ht="15" hidden="false" customHeight="false" outlineLevel="0" collapsed="false">
      <c r="A35" s="2" t="s">
        <v>27</v>
      </c>
    </row>
    <row r="36" customFormat="false" ht="15" hidden="false" customHeight="false" outlineLevel="0" collapsed="false">
      <c r="A36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3" t="s">
        <v>29</v>
      </c>
    </row>
    <row r="2" customFormat="false" ht="15" hidden="false" customHeight="false" outlineLevel="0" collapsed="false">
      <c r="A2" s="4" t="s">
        <v>30</v>
      </c>
      <c r="B2" s="4" t="s">
        <v>31</v>
      </c>
      <c r="C2" s="4" t="s">
        <v>32</v>
      </c>
      <c r="D2" s="4" t="s">
        <v>33</v>
      </c>
    </row>
    <row r="3" customFormat="false" ht="15" hidden="false" customHeight="false" outlineLevel="0" collapsed="false">
      <c r="A3" s="0" t="s">
        <v>34</v>
      </c>
      <c r="B3" s="0" t="n">
        <v>3488</v>
      </c>
      <c r="C3" s="0" t="n">
        <v>4672</v>
      </c>
      <c r="D3" s="0" t="n">
        <v>15</v>
      </c>
    </row>
    <row r="4" customFormat="false" ht="15" hidden="false" customHeight="false" outlineLevel="0" collapsed="false">
      <c r="A4" s="0" t="s">
        <v>35</v>
      </c>
      <c r="B4" s="0" t="n">
        <v>1542</v>
      </c>
      <c r="C4" s="0" t="n">
        <v>1693</v>
      </c>
      <c r="D4" s="0" t="n">
        <v>8</v>
      </c>
    </row>
    <row r="5" customFormat="false" ht="15" hidden="false" customHeight="false" outlineLevel="0" collapsed="false">
      <c r="A5" s="0" t="s">
        <v>36</v>
      </c>
      <c r="B5" s="0" t="n">
        <v>784</v>
      </c>
      <c r="C5" s="0" t="n">
        <v>813</v>
      </c>
      <c r="D5" s="0" t="n">
        <v>11</v>
      </c>
    </row>
    <row r="6" customFormat="false" ht="15" hidden="false" customHeight="false" outlineLevel="0" collapsed="false">
      <c r="A6" s="0" t="s">
        <v>37</v>
      </c>
      <c r="B6" s="0" t="n">
        <v>625</v>
      </c>
      <c r="C6" s="0" t="n">
        <v>642</v>
      </c>
      <c r="D6" s="0" t="n">
        <v>3</v>
      </c>
    </row>
    <row r="7" customFormat="false" ht="15" hidden="false" customHeight="false" outlineLevel="0" collapsed="false">
      <c r="A7" s="0" t="s">
        <v>38</v>
      </c>
      <c r="B7" s="0" t="n">
        <v>600</v>
      </c>
      <c r="C7" s="0" t="n">
        <v>604</v>
      </c>
      <c r="D7" s="0" t="n">
        <v>5</v>
      </c>
    </row>
    <row r="8" customFormat="false" ht="15" hidden="false" customHeight="false" outlineLevel="0" collapsed="false">
      <c r="A8" s="0" t="s">
        <v>39</v>
      </c>
      <c r="B8" s="0" t="n">
        <v>318</v>
      </c>
      <c r="C8" s="0" t="n">
        <v>319</v>
      </c>
      <c r="D8" s="0" t="n">
        <v>4</v>
      </c>
    </row>
    <row r="9" customFormat="false" ht="15" hidden="false" customHeight="false" outlineLevel="0" collapsed="false">
      <c r="A9" s="0" t="s">
        <v>40</v>
      </c>
      <c r="B9" s="0" t="n">
        <v>111</v>
      </c>
      <c r="C9" s="0" t="n">
        <v>112</v>
      </c>
      <c r="D9" s="0" t="n">
        <v>2</v>
      </c>
    </row>
    <row r="10" customFormat="false" ht="15" hidden="false" customHeight="false" outlineLevel="0" collapsed="false">
      <c r="A10" s="0" t="s">
        <v>41</v>
      </c>
      <c r="B10" s="0" t="n">
        <v>92</v>
      </c>
      <c r="C10" s="0" t="n">
        <v>93</v>
      </c>
      <c r="D10" s="0" t="n">
        <v>4</v>
      </c>
    </row>
    <row r="11" customFormat="false" ht="15" hidden="false" customHeight="false" outlineLevel="0" collapsed="false">
      <c r="A11" s="0" t="s">
        <v>42</v>
      </c>
      <c r="B11" s="0" t="n">
        <v>77</v>
      </c>
      <c r="C11" s="0" t="n">
        <v>77</v>
      </c>
      <c r="D11" s="0" t="n">
        <v>2</v>
      </c>
    </row>
    <row r="12" customFormat="false" ht="15" hidden="false" customHeight="false" outlineLevel="0" collapsed="false">
      <c r="A12" s="0" t="s">
        <v>43</v>
      </c>
      <c r="B12" s="0" t="n">
        <v>38</v>
      </c>
      <c r="C12" s="0" t="n">
        <v>38</v>
      </c>
      <c r="D12" s="0" t="n">
        <v>3</v>
      </c>
    </row>
    <row r="13" customFormat="false" ht="15" hidden="false" customHeight="false" outlineLevel="0" collapsed="false">
      <c r="A13" s="0" t="s">
        <v>44</v>
      </c>
      <c r="B13" s="0" t="n">
        <v>16</v>
      </c>
      <c r="C13" s="0" t="n">
        <v>16</v>
      </c>
      <c r="D13" s="0" t="n">
        <v>2</v>
      </c>
    </row>
    <row r="14" customFormat="false" ht="15" hidden="false" customHeight="false" outlineLevel="0" collapsed="false">
      <c r="A14" s="0" t="s">
        <v>45</v>
      </c>
      <c r="B14" s="0" t="n">
        <v>12</v>
      </c>
      <c r="C14" s="0" t="n">
        <v>12</v>
      </c>
      <c r="D14" s="0" t="n">
        <v>2</v>
      </c>
    </row>
    <row r="15" customFormat="false" ht="15" hidden="false" customHeight="false" outlineLevel="0" collapsed="false">
      <c r="A15" s="0" t="s">
        <v>46</v>
      </c>
      <c r="B15" s="0" t="n">
        <v>10</v>
      </c>
      <c r="C15" s="0" t="n">
        <v>10</v>
      </c>
      <c r="D15" s="0" t="n">
        <v>3</v>
      </c>
    </row>
    <row r="16" customFormat="false" ht="15" hidden="false" customHeight="false" outlineLevel="0" collapsed="false">
      <c r="A16" s="0" t="s">
        <v>47</v>
      </c>
      <c r="B16" s="0" t="n">
        <v>3</v>
      </c>
      <c r="C16" s="0" t="n">
        <v>3</v>
      </c>
      <c r="D16" s="0" t="n">
        <v>1</v>
      </c>
    </row>
    <row r="17" customFormat="false" ht="15" hidden="false" customHeight="false" outlineLevel="0" collapsed="false">
      <c r="A17" s="0" t="s">
        <v>48</v>
      </c>
      <c r="B17" s="0" t="n">
        <v>2</v>
      </c>
      <c r="C17" s="0" t="n">
        <v>2</v>
      </c>
      <c r="D17" s="0" t="n">
        <v>1</v>
      </c>
    </row>
    <row r="18" customFormat="false" ht="15" hidden="false" customHeight="false" outlineLevel="0" collapsed="false">
      <c r="A18" s="0" t="s">
        <v>49</v>
      </c>
      <c r="B18" s="0" t="n">
        <v>1</v>
      </c>
      <c r="C18" s="0" t="n">
        <v>1</v>
      </c>
      <c r="D18" s="0" t="n">
        <v>1</v>
      </c>
    </row>
    <row r="19" customFormat="false" ht="15" hidden="false" customHeight="false" outlineLevel="0" collapsed="false">
      <c r="A19" s="0" t="s">
        <v>50</v>
      </c>
      <c r="B19" s="0" t="n">
        <v>1</v>
      </c>
      <c r="C19" s="0" t="n">
        <v>1</v>
      </c>
      <c r="D19" s="0" t="n">
        <v>1</v>
      </c>
    </row>
    <row r="21" customFormat="false" ht="15" hidden="false" customHeight="false" outlineLevel="0" collapsed="false">
      <c r="A21" s="3" t="s">
        <v>51</v>
      </c>
    </row>
    <row r="22" customFormat="false" ht="15" hidden="false" customHeight="false" outlineLevel="0" collapsed="false">
      <c r="A22" s="4" t="s">
        <v>30</v>
      </c>
      <c r="B22" s="4" t="s">
        <v>52</v>
      </c>
    </row>
    <row r="23" customFormat="false" ht="15" hidden="false" customHeight="false" outlineLevel="0" collapsed="false">
      <c r="A23" s="0" t="s">
        <v>50</v>
      </c>
      <c r="B23" s="0" t="s">
        <v>53</v>
      </c>
    </row>
    <row r="24" customFormat="false" ht="15" hidden="false" customHeight="false" outlineLevel="0" collapsed="false">
      <c r="A24" s="0" t="s">
        <v>35</v>
      </c>
      <c r="B24" s="0" t="s">
        <v>54</v>
      </c>
    </row>
    <row r="25" customFormat="false" ht="15" hidden="false" customHeight="false" outlineLevel="0" collapsed="false">
      <c r="A25" s="0" t="s">
        <v>39</v>
      </c>
      <c r="B25" s="0" t="s">
        <v>55</v>
      </c>
    </row>
    <row r="26" customFormat="false" ht="15" hidden="false" customHeight="false" outlineLevel="0" collapsed="false">
      <c r="A26" s="0" t="s">
        <v>56</v>
      </c>
      <c r="B26" s="0" t="s">
        <v>57</v>
      </c>
    </row>
    <row r="27" customFormat="false" ht="15" hidden="false" customHeight="false" outlineLevel="0" collapsed="false">
      <c r="A27" s="0" t="s">
        <v>58</v>
      </c>
      <c r="B27" s="0" t="s">
        <v>59</v>
      </c>
    </row>
    <row r="29" customFormat="false" ht="15" hidden="false" customHeight="false" outlineLevel="0" collapsed="false">
      <c r="A29" s="5" t="s">
        <v>60</v>
      </c>
    </row>
    <row r="30" customFormat="false" ht="15" hidden="false" customHeight="false" outlineLevel="0" collapsed="false">
      <c r="A30" s="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3" t="s">
        <v>62</v>
      </c>
    </row>
    <row r="2" customFormat="false" ht="15" hidden="false" customHeight="false" outlineLevel="0" collapsed="false">
      <c r="A2" s="4" t="s">
        <v>30</v>
      </c>
      <c r="B2" s="4" t="s">
        <v>63</v>
      </c>
      <c r="C2" s="4" t="s">
        <v>64</v>
      </c>
    </row>
    <row r="3" customFormat="false" ht="15" hidden="false" customHeight="false" outlineLevel="0" collapsed="false">
      <c r="A3" s="0" t="s">
        <v>34</v>
      </c>
      <c r="B3" s="0" t="n">
        <v>3488</v>
      </c>
      <c r="C3" s="0" t="s">
        <v>65</v>
      </c>
    </row>
    <row r="4" customFormat="false" ht="15" hidden="false" customHeight="false" outlineLevel="0" collapsed="false">
      <c r="A4" s="0" t="s">
        <v>35</v>
      </c>
      <c r="B4" s="0" t="n">
        <v>1542</v>
      </c>
      <c r="C4" s="0" t="s">
        <v>65</v>
      </c>
    </row>
    <row r="5" customFormat="false" ht="15" hidden="false" customHeight="false" outlineLevel="0" collapsed="false">
      <c r="A5" s="0" t="s">
        <v>36</v>
      </c>
      <c r="B5" s="0" t="n">
        <v>784</v>
      </c>
      <c r="C5" s="0" t="s">
        <v>65</v>
      </c>
    </row>
    <row r="6" customFormat="false" ht="15" hidden="false" customHeight="false" outlineLevel="0" collapsed="false">
      <c r="A6" s="0" t="s">
        <v>37</v>
      </c>
      <c r="B6" s="0" t="n">
        <v>625</v>
      </c>
      <c r="C6" s="0" t="s">
        <v>65</v>
      </c>
    </row>
    <row r="7" customFormat="false" ht="15" hidden="false" customHeight="false" outlineLevel="0" collapsed="false">
      <c r="A7" s="0" t="s">
        <v>38</v>
      </c>
      <c r="B7" s="0" t="n">
        <v>600</v>
      </c>
      <c r="C7" s="0" t="s">
        <v>65</v>
      </c>
    </row>
    <row r="8" customFormat="false" ht="15" hidden="false" customHeight="false" outlineLevel="0" collapsed="false">
      <c r="A8" s="0" t="s">
        <v>39</v>
      </c>
      <c r="B8" s="0" t="n">
        <v>318</v>
      </c>
      <c r="C8" s="0" t="s">
        <v>65</v>
      </c>
    </row>
    <row r="9" customFormat="false" ht="15" hidden="false" customHeight="false" outlineLevel="0" collapsed="false">
      <c r="A9" s="6" t="s">
        <v>40</v>
      </c>
      <c r="B9" s="6" t="n">
        <v>111</v>
      </c>
      <c r="C9" s="6" t="s">
        <v>66</v>
      </c>
    </row>
    <row r="10" customFormat="false" ht="15" hidden="false" customHeight="false" outlineLevel="0" collapsed="false">
      <c r="A10" s="6" t="s">
        <v>41</v>
      </c>
      <c r="B10" s="6" t="n">
        <v>92</v>
      </c>
      <c r="C10" s="6" t="s">
        <v>66</v>
      </c>
    </row>
    <row r="11" customFormat="false" ht="15" hidden="false" customHeight="false" outlineLevel="0" collapsed="false">
      <c r="A11" s="6" t="s">
        <v>42</v>
      </c>
      <c r="B11" s="6" t="n">
        <v>77</v>
      </c>
      <c r="C11" s="6" t="s">
        <v>66</v>
      </c>
    </row>
    <row r="12" customFormat="false" ht="15" hidden="false" customHeight="false" outlineLevel="0" collapsed="false">
      <c r="A12" s="6" t="s">
        <v>43</v>
      </c>
      <c r="B12" s="6" t="n">
        <v>38</v>
      </c>
      <c r="C12" s="6" t="s">
        <v>66</v>
      </c>
    </row>
    <row r="13" customFormat="false" ht="15" hidden="false" customHeight="false" outlineLevel="0" collapsed="false">
      <c r="A13" s="6" t="s">
        <v>44</v>
      </c>
      <c r="B13" s="6" t="n">
        <v>16</v>
      </c>
      <c r="C13" s="6" t="s">
        <v>66</v>
      </c>
    </row>
    <row r="14" customFormat="false" ht="15" hidden="false" customHeight="false" outlineLevel="0" collapsed="false">
      <c r="A14" s="6" t="s">
        <v>45</v>
      </c>
      <c r="B14" s="6" t="n">
        <v>12</v>
      </c>
      <c r="C14" s="6" t="s">
        <v>66</v>
      </c>
    </row>
    <row r="15" customFormat="false" ht="15" hidden="false" customHeight="false" outlineLevel="0" collapsed="false">
      <c r="A15" s="6" t="s">
        <v>46</v>
      </c>
      <c r="B15" s="6" t="n">
        <v>10</v>
      </c>
      <c r="C15" s="6" t="s">
        <v>66</v>
      </c>
    </row>
    <row r="16" customFormat="false" ht="15" hidden="false" customHeight="false" outlineLevel="0" collapsed="false">
      <c r="A16" s="6" t="s">
        <v>47</v>
      </c>
      <c r="B16" s="6" t="n">
        <v>3</v>
      </c>
      <c r="C16" s="6" t="s">
        <v>66</v>
      </c>
    </row>
    <row r="17" customFormat="false" ht="15" hidden="false" customHeight="false" outlineLevel="0" collapsed="false">
      <c r="A17" s="6" t="s">
        <v>48</v>
      </c>
      <c r="B17" s="6" t="n">
        <v>2</v>
      </c>
      <c r="C17" s="6" t="s">
        <v>66</v>
      </c>
    </row>
    <row r="18" customFormat="false" ht="15" hidden="false" customHeight="false" outlineLevel="0" collapsed="false">
      <c r="A18" s="6" t="s">
        <v>49</v>
      </c>
      <c r="B18" s="6" t="n">
        <v>1</v>
      </c>
      <c r="C18" s="6" t="s">
        <v>66</v>
      </c>
    </row>
    <row r="19" customFormat="false" ht="15" hidden="false" customHeight="false" outlineLevel="0" collapsed="false">
      <c r="A19" s="6" t="s">
        <v>50</v>
      </c>
      <c r="B19" s="6" t="n">
        <v>1</v>
      </c>
      <c r="C19" s="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4" t="s">
        <v>67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72</v>
      </c>
      <c r="G1" s="4" t="s">
        <v>73</v>
      </c>
      <c r="H1" s="4" t="s">
        <v>74</v>
      </c>
      <c r="I1" s="4" t="s">
        <v>75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81</v>
      </c>
      <c r="P1" s="4" t="s">
        <v>82</v>
      </c>
      <c r="Q1" s="4" t="s">
        <v>83</v>
      </c>
    </row>
    <row r="2" customFormat="false" ht="15" hidden="false" customHeight="false" outlineLevel="0" collapsed="false">
      <c r="A2" s="0" t="s">
        <v>84</v>
      </c>
      <c r="B2" s="7" t="n">
        <v>5</v>
      </c>
      <c r="C2" s="7" t="n">
        <v>6</v>
      </c>
      <c r="D2" s="7" t="n">
        <v>8</v>
      </c>
      <c r="E2" s="7" t="n">
        <v>32</v>
      </c>
      <c r="F2" s="7" t="n">
        <v>6</v>
      </c>
      <c r="G2" s="7" t="n">
        <v>3</v>
      </c>
      <c r="H2" s="7" t="n">
        <v>1</v>
      </c>
      <c r="I2" s="7" t="n">
        <v>34</v>
      </c>
      <c r="J2" s="7" t="n">
        <v>40</v>
      </c>
      <c r="K2" s="7" t="n">
        <v>40</v>
      </c>
      <c r="L2" s="7" t="n">
        <v>40</v>
      </c>
      <c r="M2" s="7" t="n">
        <v>40</v>
      </c>
      <c r="N2" s="7" t="n">
        <v>40</v>
      </c>
      <c r="O2" s="7" t="n">
        <v>40</v>
      </c>
      <c r="P2" s="7" t="n">
        <v>40</v>
      </c>
      <c r="Q2" s="7" t="n">
        <v>40</v>
      </c>
    </row>
    <row r="3" customFormat="false" ht="15" hidden="false" customHeight="false" outlineLevel="0" collapsed="false">
      <c r="A3" s="0" t="s">
        <v>39</v>
      </c>
      <c r="B3" s="7" t="n">
        <v>17</v>
      </c>
      <c r="C3" s="7" t="n">
        <v>13</v>
      </c>
      <c r="D3" s="7" t="n">
        <v>14</v>
      </c>
      <c r="E3" s="7" t="n">
        <v>36</v>
      </c>
      <c r="F3" s="7" t="n">
        <v>26</v>
      </c>
      <c r="G3" s="7" t="n">
        <v>11</v>
      </c>
      <c r="H3" s="7" t="n">
        <v>33</v>
      </c>
      <c r="I3" s="7" t="n">
        <v>38</v>
      </c>
      <c r="J3" s="7" t="n">
        <v>40</v>
      </c>
      <c r="K3" s="7" t="n">
        <v>40</v>
      </c>
      <c r="L3" s="7" t="n">
        <v>40</v>
      </c>
      <c r="M3" s="7" t="n">
        <v>40</v>
      </c>
      <c r="N3" s="7" t="n">
        <v>40</v>
      </c>
      <c r="O3" s="7" t="n">
        <v>40</v>
      </c>
      <c r="P3" s="7" t="n">
        <v>40</v>
      </c>
      <c r="Q3" s="7" t="n">
        <v>40</v>
      </c>
    </row>
    <row r="4" customFormat="false" ht="15" hidden="false" customHeight="false" outlineLevel="0" collapsed="false">
      <c r="A4" s="0" t="s">
        <v>35</v>
      </c>
      <c r="B4" s="7" t="n">
        <v>19</v>
      </c>
      <c r="C4" s="7" t="n">
        <v>23</v>
      </c>
      <c r="D4" s="7" t="n">
        <v>35</v>
      </c>
      <c r="E4" s="7" t="n">
        <v>40</v>
      </c>
      <c r="F4" s="7" t="n">
        <v>28</v>
      </c>
      <c r="G4" s="7" t="n">
        <v>22</v>
      </c>
      <c r="H4" s="7" t="n">
        <v>10</v>
      </c>
      <c r="I4" s="7" t="n">
        <v>40</v>
      </c>
      <c r="J4" s="7" t="n">
        <v>40</v>
      </c>
      <c r="K4" s="7" t="n">
        <v>40</v>
      </c>
      <c r="L4" s="7" t="n">
        <v>40</v>
      </c>
      <c r="M4" s="7" t="n">
        <v>40</v>
      </c>
      <c r="N4" s="7" t="n">
        <v>40</v>
      </c>
      <c r="O4" s="7" t="n">
        <v>40</v>
      </c>
      <c r="P4" s="7" t="n">
        <v>40</v>
      </c>
      <c r="Q4" s="7" t="n">
        <v>40</v>
      </c>
    </row>
    <row r="5" customFormat="false" ht="15" hidden="false" customHeight="false" outlineLevel="0" collapsed="false">
      <c r="A5" s="0" t="s">
        <v>34</v>
      </c>
      <c r="B5" s="7" t="n">
        <v>35</v>
      </c>
      <c r="C5" s="7" t="n">
        <v>29</v>
      </c>
      <c r="D5" s="7" t="n">
        <v>16</v>
      </c>
      <c r="E5" s="7" t="n">
        <v>40</v>
      </c>
      <c r="F5" s="7" t="n">
        <v>32</v>
      </c>
      <c r="G5" s="7" t="n">
        <v>22</v>
      </c>
      <c r="H5" s="7" t="n">
        <v>37</v>
      </c>
      <c r="I5" s="7" t="n">
        <v>40</v>
      </c>
      <c r="J5" s="7" t="n">
        <v>40</v>
      </c>
      <c r="K5" s="7" t="n">
        <v>40</v>
      </c>
      <c r="L5" s="7" t="n">
        <v>40</v>
      </c>
      <c r="M5" s="7" t="n">
        <v>40</v>
      </c>
      <c r="N5" s="7" t="n">
        <v>40</v>
      </c>
      <c r="O5" s="7" t="n">
        <v>40</v>
      </c>
      <c r="P5" s="7" t="n">
        <v>40</v>
      </c>
      <c r="Q5" s="7" t="n">
        <v>40</v>
      </c>
    </row>
    <row r="6" customFormat="false" ht="15" hidden="false" customHeight="false" outlineLevel="0" collapsed="false">
      <c r="A6" s="0" t="s">
        <v>36</v>
      </c>
      <c r="B6" s="7" t="n">
        <v>19</v>
      </c>
      <c r="C6" s="7" t="n">
        <v>24</v>
      </c>
      <c r="D6" s="7" t="n">
        <v>20</v>
      </c>
      <c r="E6" s="7" t="n">
        <v>39</v>
      </c>
      <c r="F6" s="7" t="n">
        <v>39</v>
      </c>
      <c r="G6" s="7" t="n">
        <v>16</v>
      </c>
      <c r="H6" s="7" t="n">
        <v>39</v>
      </c>
      <c r="I6" s="7" t="n">
        <v>40</v>
      </c>
      <c r="J6" s="7" t="n">
        <v>40</v>
      </c>
      <c r="K6" s="7" t="n">
        <v>40</v>
      </c>
      <c r="L6" s="7" t="n">
        <v>40</v>
      </c>
      <c r="M6" s="7" t="n">
        <v>40</v>
      </c>
      <c r="N6" s="7" t="n">
        <v>40</v>
      </c>
      <c r="O6" s="7" t="n">
        <v>40</v>
      </c>
      <c r="P6" s="7" t="n">
        <v>40</v>
      </c>
      <c r="Q6" s="7" t="n">
        <v>40</v>
      </c>
    </row>
    <row r="7" customFormat="false" ht="15" hidden="false" customHeight="false" outlineLevel="0" collapsed="false">
      <c r="A7" s="0" t="s">
        <v>37</v>
      </c>
      <c r="B7" s="7" t="n">
        <v>26</v>
      </c>
      <c r="C7" s="7" t="n">
        <v>34</v>
      </c>
      <c r="D7" s="7" t="n">
        <v>15</v>
      </c>
      <c r="E7" s="7" t="n">
        <v>40</v>
      </c>
      <c r="F7" s="7" t="n">
        <v>30</v>
      </c>
      <c r="G7" s="7" t="n">
        <v>21</v>
      </c>
      <c r="H7" s="7" t="n">
        <v>22</v>
      </c>
      <c r="I7" s="7" t="n">
        <v>39</v>
      </c>
      <c r="J7" s="7" t="n">
        <v>40</v>
      </c>
      <c r="K7" s="7" t="n">
        <v>40</v>
      </c>
      <c r="L7" s="7" t="n">
        <v>40</v>
      </c>
      <c r="M7" s="7" t="n">
        <v>40</v>
      </c>
      <c r="N7" s="7" t="n">
        <v>40</v>
      </c>
      <c r="O7" s="7" t="n">
        <v>40</v>
      </c>
      <c r="P7" s="7" t="n">
        <v>40</v>
      </c>
      <c r="Q7" s="7" t="n">
        <v>40</v>
      </c>
    </row>
    <row r="8" customFormat="false" ht="15" hidden="false" customHeight="false" outlineLevel="0" collapsed="false">
      <c r="A8" s="0" t="s">
        <v>38</v>
      </c>
      <c r="B8" s="7" t="n">
        <v>4</v>
      </c>
      <c r="C8" s="7" t="n">
        <v>8</v>
      </c>
      <c r="D8" s="7" t="n">
        <v>9</v>
      </c>
      <c r="E8" s="7" t="n">
        <v>36</v>
      </c>
      <c r="F8" s="7" t="n">
        <v>27</v>
      </c>
      <c r="G8" s="7" t="n">
        <v>4</v>
      </c>
      <c r="H8" s="7" t="n">
        <v>19</v>
      </c>
      <c r="I8" s="7" t="n">
        <v>37</v>
      </c>
      <c r="J8" s="7" t="n">
        <v>40</v>
      </c>
      <c r="K8" s="7" t="n">
        <v>40</v>
      </c>
      <c r="L8" s="7" t="n">
        <v>40</v>
      </c>
      <c r="M8" s="7" t="n">
        <v>40</v>
      </c>
      <c r="N8" s="7" t="n">
        <v>40</v>
      </c>
      <c r="O8" s="7" t="n">
        <v>40</v>
      </c>
      <c r="P8" s="7" t="n">
        <v>40</v>
      </c>
      <c r="Q8" s="7" t="n">
        <v>40</v>
      </c>
    </row>
    <row r="10" customFormat="false" ht="15" hidden="false" customHeight="false" outlineLevel="0" collapsed="false">
      <c r="A10" s="8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10" min="3" style="0" width="13"/>
  </cols>
  <sheetData>
    <row r="1" customFormat="false" ht="64.9" hidden="false" customHeight="false" outlineLevel="0" collapsed="false">
      <c r="A1" s="9" t="s">
        <v>86</v>
      </c>
      <c r="B1" s="9" t="s">
        <v>87</v>
      </c>
      <c r="C1" s="9" t="s">
        <v>55</v>
      </c>
      <c r="D1" s="9" t="s">
        <v>59</v>
      </c>
      <c r="E1" s="9" t="s">
        <v>57</v>
      </c>
      <c r="F1" s="9" t="s">
        <v>88</v>
      </c>
      <c r="G1" s="9" t="s">
        <v>89</v>
      </c>
      <c r="H1" s="9" t="s">
        <v>90</v>
      </c>
      <c r="I1" s="9" t="s">
        <v>91</v>
      </c>
      <c r="J1" s="9" t="s">
        <v>92</v>
      </c>
      <c r="K1" s="9" t="s">
        <v>93</v>
      </c>
      <c r="L1" s="9" t="s">
        <v>94</v>
      </c>
      <c r="M1" s="9" t="s">
        <v>95</v>
      </c>
    </row>
    <row r="2" customFormat="false" ht="15" hidden="false" customHeight="false" outlineLevel="0" collapsed="false">
      <c r="A2" s="0" t="s">
        <v>84</v>
      </c>
      <c r="B2" s="0" t="n">
        <v>1</v>
      </c>
      <c r="C2" s="0" t="str">
        <f aca="false">TEXT('Raw Counts'!B2/'Raw Counts'!J2*100,"0.0")&amp;"% +/- "&amp;TEXT(SQRT(('Raw Counts'!B2/'Raw Counts'!J2)*(1-'Raw Counts'!B2/'Raw Counts'!J2)/'Raw Counts'!J2)*100,"0.0")&amp;"%"</f>
        <v>12.5% +/- 5.2%</v>
      </c>
      <c r="D2" s="0" t="str">
        <f aca="false">TEXT('Raw Counts'!C2/'Raw Counts'!K2*100,"0.0")&amp;"% +/- "&amp;TEXT(SQRT(('Raw Counts'!C2/'Raw Counts'!K2)*(1-'Raw Counts'!C2/'Raw Counts'!K2)/'Raw Counts'!K2)*100,"0.0")&amp;"%"</f>
        <v>15.0% +/- 5.6%</v>
      </c>
      <c r="E2" s="0" t="str">
        <f aca="false">TEXT('Raw Counts'!D2/'Raw Counts'!L2*100,"0.0")&amp;"% +/- "&amp;TEXT(SQRT(('Raw Counts'!D2/'Raw Counts'!L2)*(1-'Raw Counts'!D2/'Raw Counts'!L2)/'Raw Counts'!L2)*100,"0.0")&amp;"%"</f>
        <v>20.0% +/- 6.3%</v>
      </c>
      <c r="F2" s="0" t="str">
        <f aca="false">TEXT('Raw Counts'!E2/'Raw Counts'!M2*100,"0.0")&amp;"% +/- "&amp;TEXT(SQRT(('Raw Counts'!E2/'Raw Counts'!M2)*(1-'Raw Counts'!E2/'Raw Counts'!M2)/'Raw Counts'!M2)*100,"0.0")&amp;"%"</f>
        <v>80.0% +/- 6.3%</v>
      </c>
      <c r="G2" s="0" t="str">
        <f aca="false">TEXT('Raw Counts'!F2/'Raw Counts'!N2*100,"0.0")&amp;"% +/- "&amp;TEXT(SQRT(('Raw Counts'!F2/'Raw Counts'!N2)*(1-'Raw Counts'!F2/'Raw Counts'!N2)/'Raw Counts'!N2)*100,"0.0")&amp;"%"</f>
        <v>15.0% +/- 5.6%</v>
      </c>
      <c r="H2" s="0" t="str">
        <f aca="false">TEXT('Raw Counts'!G2/'Raw Counts'!O2*100,"0.0")&amp;"% +/- "&amp;TEXT(SQRT(('Raw Counts'!G2/'Raw Counts'!O2)*(1-'Raw Counts'!G2/'Raw Counts'!O2)/'Raw Counts'!O2)*100,"0.0")&amp;"%"</f>
        <v>7.5% +/- 4.2%</v>
      </c>
      <c r="I2" s="0" t="str">
        <f aca="false">TEXT('Raw Counts'!H2/'Raw Counts'!P2*100,"0.0")&amp;"% +/- "&amp;TEXT(SQRT(('Raw Counts'!H2/'Raw Counts'!P2)*(1-'Raw Counts'!H2/'Raw Counts'!P2)/'Raw Counts'!P2)*100,"0.0")&amp;"%"</f>
        <v>2.5% +/- 2.5%</v>
      </c>
      <c r="J2" s="0" t="str">
        <f aca="false">TEXT('Raw Counts'!I2/'Raw Counts'!Q2*100,"0.0")&amp;"% +/- "&amp;TEXT(SQRT(('Raw Counts'!I2/'Raw Counts'!Q2)*(1-'Raw Counts'!I2/'Raw Counts'!Q2)/'Raw Counts'!Q2)*100,"0.0")&amp;"%"</f>
        <v>85.0% +/- 5.6%</v>
      </c>
      <c r="K2" s="10" t="n">
        <f aca="false">SUM('Raw Counts'!B2:I2)/SUM('Raw Counts'!J2:Q2)*100</f>
        <v>29.6875</v>
      </c>
      <c r="L2" s="10" t="n">
        <f aca="false">SQRT((SUM('Raw Counts'!B2:I2)/SUM('Raw Counts'!J2:Q2))*(1-SUM('Raw Counts'!B2:I2)/SUM('Raw Counts'!J2:Q2))/SUM('Raw Counts'!J2:Q2))*100</f>
        <v>2.55404234973086</v>
      </c>
      <c r="M2" s="0" t="n">
        <f aca="false">SUM('Raw Counts'!J2:Q2)</f>
        <v>320</v>
      </c>
    </row>
    <row r="3" customFormat="false" ht="15" hidden="false" customHeight="false" outlineLevel="0" collapsed="false">
      <c r="A3" s="0" t="s">
        <v>39</v>
      </c>
      <c r="B3" s="0" t="n">
        <v>318</v>
      </c>
      <c r="C3" s="0" t="str">
        <f aca="false">TEXT('Raw Counts'!B3/'Raw Counts'!J3*100,"0.0")&amp;"% +/- "&amp;TEXT(SQRT(('Raw Counts'!B3/'Raw Counts'!J3)*(1-'Raw Counts'!B3/'Raw Counts'!J3)/'Raw Counts'!J3)*100,"0.0")&amp;"%"</f>
        <v>42.5% +/- 7.8%</v>
      </c>
      <c r="D3" s="0" t="str">
        <f aca="false">TEXT('Raw Counts'!C3/'Raw Counts'!K3*100,"0.0")&amp;"% +/- "&amp;TEXT(SQRT(('Raw Counts'!C3/'Raw Counts'!K3)*(1-'Raw Counts'!C3/'Raw Counts'!K3)/'Raw Counts'!K3)*100,"0.0")&amp;"%"</f>
        <v>32.5% +/- 7.4%</v>
      </c>
      <c r="E3" s="0" t="str">
        <f aca="false">TEXT('Raw Counts'!D3/'Raw Counts'!L3*100,"0.0")&amp;"% +/- "&amp;TEXT(SQRT(('Raw Counts'!D3/'Raw Counts'!L3)*(1-'Raw Counts'!D3/'Raw Counts'!L3)/'Raw Counts'!L3)*100,"0.0")&amp;"%"</f>
        <v>35.0% +/- 7.5%</v>
      </c>
      <c r="F3" s="0" t="str">
        <f aca="false">TEXT('Raw Counts'!E3/'Raw Counts'!M3*100,"0.0")&amp;"% +/- "&amp;TEXT(SQRT(('Raw Counts'!E3/'Raw Counts'!M3)*(1-'Raw Counts'!E3/'Raw Counts'!M3)/'Raw Counts'!M3)*100,"0.0")&amp;"%"</f>
        <v>90.0% +/- 4.7%</v>
      </c>
      <c r="G3" s="0" t="str">
        <f aca="false">TEXT('Raw Counts'!F3/'Raw Counts'!N3*100,"0.0")&amp;"% +/- "&amp;TEXT(SQRT(('Raw Counts'!F3/'Raw Counts'!N3)*(1-'Raw Counts'!F3/'Raw Counts'!N3)/'Raw Counts'!N3)*100,"0.0")&amp;"%"</f>
        <v>65.0% +/- 7.5%</v>
      </c>
      <c r="H3" s="0" t="str">
        <f aca="false">TEXT('Raw Counts'!G3/'Raw Counts'!O3*100,"0.0")&amp;"% +/- "&amp;TEXT(SQRT(('Raw Counts'!G3/'Raw Counts'!O3)*(1-'Raw Counts'!G3/'Raw Counts'!O3)/'Raw Counts'!O3)*100,"0.0")&amp;"%"</f>
        <v>27.5% +/- 7.1%</v>
      </c>
      <c r="I3" s="0" t="str">
        <f aca="false">TEXT('Raw Counts'!H3/'Raw Counts'!P3*100,"0.0")&amp;"% +/- "&amp;TEXT(SQRT(('Raw Counts'!H3/'Raw Counts'!P3)*(1-'Raw Counts'!H3/'Raw Counts'!P3)/'Raw Counts'!P3)*100,"0.0")&amp;"%"</f>
        <v>82.5% +/- 6.0%</v>
      </c>
      <c r="J3" s="0" t="str">
        <f aca="false">TEXT('Raw Counts'!I3/'Raw Counts'!Q3*100,"0.0")&amp;"% +/- "&amp;TEXT(SQRT(('Raw Counts'!I3/'Raw Counts'!Q3)*(1-'Raw Counts'!I3/'Raw Counts'!Q3)/'Raw Counts'!Q3)*100,"0.0")&amp;"%"</f>
        <v>95.0% +/- 3.4%</v>
      </c>
      <c r="K3" s="10" t="n">
        <f aca="false">SUM('Raw Counts'!B3:I3)/SUM('Raw Counts'!J3:Q3)*100</f>
        <v>58.75</v>
      </c>
      <c r="L3" s="10" t="n">
        <f aca="false">SQRT((SUM('Raw Counts'!B3:I3)/SUM('Raw Counts'!J3:Q3))*(1-SUM('Raw Counts'!B3:I3)/SUM('Raw Counts'!J3:Q3))/SUM('Raw Counts'!J3:Q3))*100</f>
        <v>2.75195243191084</v>
      </c>
      <c r="M3" s="0" t="n">
        <f aca="false">SUM('Raw Counts'!J3:Q3)</f>
        <v>320</v>
      </c>
    </row>
    <row r="4" customFormat="false" ht="15" hidden="false" customHeight="false" outlineLevel="0" collapsed="false">
      <c r="A4" s="0" t="s">
        <v>35</v>
      </c>
      <c r="B4" s="0" t="n">
        <v>1542</v>
      </c>
      <c r="C4" s="0" t="str">
        <f aca="false">TEXT('Raw Counts'!B4/'Raw Counts'!J4*100,"0.0")&amp;"% +/- "&amp;TEXT(SQRT(('Raw Counts'!B4/'Raw Counts'!J4)*(1-'Raw Counts'!B4/'Raw Counts'!J4)/'Raw Counts'!J4)*100,"0.0")&amp;"%"</f>
        <v>47.5% +/- 7.9%</v>
      </c>
      <c r="D4" s="0" t="str">
        <f aca="false">TEXT('Raw Counts'!C4/'Raw Counts'!K4*100,"0.0")&amp;"% +/- "&amp;TEXT(SQRT(('Raw Counts'!C4/'Raw Counts'!K4)*(1-'Raw Counts'!C4/'Raw Counts'!K4)/'Raw Counts'!K4)*100,"0.0")&amp;"%"</f>
        <v>57.5% +/- 7.8%</v>
      </c>
      <c r="E4" s="0" t="str">
        <f aca="false">TEXT('Raw Counts'!D4/'Raw Counts'!L4*100,"0.0")&amp;"% +/- "&amp;TEXT(SQRT(('Raw Counts'!D4/'Raw Counts'!L4)*(1-'Raw Counts'!D4/'Raw Counts'!L4)/'Raw Counts'!L4)*100,"0.0")&amp;"%"</f>
        <v>87.5% +/- 5.2%</v>
      </c>
      <c r="F4" s="0" t="str">
        <f aca="false">TEXT('Raw Counts'!E4/'Raw Counts'!M4*100,"0.0")&amp;"% +/- "&amp;TEXT(SQRT(('Raw Counts'!E4/'Raw Counts'!M4)*(1-'Raw Counts'!E4/'Raw Counts'!M4)/'Raw Counts'!M4)*100,"0.0")&amp;"%"</f>
        <v>100.0% +/- 0.0%</v>
      </c>
      <c r="G4" s="0" t="str">
        <f aca="false">TEXT('Raw Counts'!F4/'Raw Counts'!N4*100,"0.0")&amp;"% +/- "&amp;TEXT(SQRT(('Raw Counts'!F4/'Raw Counts'!N4)*(1-'Raw Counts'!F4/'Raw Counts'!N4)/'Raw Counts'!N4)*100,"0.0")&amp;"%"</f>
        <v>70.0% +/- 7.2%</v>
      </c>
      <c r="H4" s="0" t="str">
        <f aca="false">TEXT('Raw Counts'!G4/'Raw Counts'!O4*100,"0.0")&amp;"% +/- "&amp;TEXT(SQRT(('Raw Counts'!G4/'Raw Counts'!O4)*(1-'Raw Counts'!G4/'Raw Counts'!O4)/'Raw Counts'!O4)*100,"0.0")&amp;"%"</f>
        <v>55.0% +/- 7.9%</v>
      </c>
      <c r="I4" s="0" t="str">
        <f aca="false">TEXT('Raw Counts'!H4/'Raw Counts'!P4*100,"0.0")&amp;"% +/- "&amp;TEXT(SQRT(('Raw Counts'!H4/'Raw Counts'!P4)*(1-'Raw Counts'!H4/'Raw Counts'!P4)/'Raw Counts'!P4)*100,"0.0")&amp;"%"</f>
        <v>25.0% +/- 6.8%</v>
      </c>
      <c r="J4" s="0" t="str">
        <f aca="false">TEXT('Raw Counts'!I4/'Raw Counts'!Q4*100,"0.0")&amp;"% +/- "&amp;TEXT(SQRT(('Raw Counts'!I4/'Raw Counts'!Q4)*(1-'Raw Counts'!I4/'Raw Counts'!Q4)/'Raw Counts'!Q4)*100,"0.0")&amp;"%"</f>
        <v>100.0% +/- 0.0%</v>
      </c>
      <c r="K4" s="10" t="n">
        <f aca="false">SUM('Raw Counts'!B4:I4)/SUM('Raw Counts'!J4:Q4)*100</f>
        <v>67.8125</v>
      </c>
      <c r="L4" s="10" t="n">
        <f aca="false">SQRT((SUM('Raw Counts'!B4:I4)/SUM('Raw Counts'!J4:Q4))*(1-SUM('Raw Counts'!B4:I4)/SUM('Raw Counts'!J4:Q4))/SUM('Raw Counts'!J4:Q4))*100</f>
        <v>2.61170133949477</v>
      </c>
      <c r="M4" s="0" t="n">
        <f aca="false">SUM('Raw Counts'!J4:Q4)</f>
        <v>320</v>
      </c>
    </row>
    <row r="5" customFormat="false" ht="15" hidden="false" customHeight="false" outlineLevel="0" collapsed="false">
      <c r="A5" s="0" t="s">
        <v>34</v>
      </c>
      <c r="B5" s="0" t="n">
        <v>3488</v>
      </c>
      <c r="C5" s="0" t="str">
        <f aca="false">TEXT('Raw Counts'!B5/'Raw Counts'!J5*100,"0.0")&amp;"% +/- "&amp;TEXT(SQRT(('Raw Counts'!B5/'Raw Counts'!J5)*(1-'Raw Counts'!B5/'Raw Counts'!J5)/'Raw Counts'!J5)*100,"0.0")&amp;"%"</f>
        <v>87.5% +/- 5.2%</v>
      </c>
      <c r="D5" s="0" t="str">
        <f aca="false">TEXT('Raw Counts'!C5/'Raw Counts'!K5*100,"0.0")&amp;"% +/- "&amp;TEXT(SQRT(('Raw Counts'!C5/'Raw Counts'!K5)*(1-'Raw Counts'!C5/'Raw Counts'!K5)/'Raw Counts'!K5)*100,"0.0")&amp;"%"</f>
        <v>72.5% +/- 7.1%</v>
      </c>
      <c r="E5" s="0" t="str">
        <f aca="false">TEXT('Raw Counts'!D5/'Raw Counts'!L5*100,"0.0")&amp;"% +/- "&amp;TEXT(SQRT(('Raw Counts'!D5/'Raw Counts'!L5)*(1-'Raw Counts'!D5/'Raw Counts'!L5)/'Raw Counts'!L5)*100,"0.0")&amp;"%"</f>
        <v>40.0% +/- 7.7%</v>
      </c>
      <c r="F5" s="0" t="str">
        <f aca="false">TEXT('Raw Counts'!E5/'Raw Counts'!M5*100,"0.0")&amp;"% +/- "&amp;TEXT(SQRT(('Raw Counts'!E5/'Raw Counts'!M5)*(1-'Raw Counts'!E5/'Raw Counts'!M5)/'Raw Counts'!M5)*100,"0.0")&amp;"%"</f>
        <v>100.0% +/- 0.0%</v>
      </c>
      <c r="G5" s="0" t="str">
        <f aca="false">TEXT('Raw Counts'!F5/'Raw Counts'!N5*100,"0.0")&amp;"% +/- "&amp;TEXT(SQRT(('Raw Counts'!F5/'Raw Counts'!N5)*(1-'Raw Counts'!F5/'Raw Counts'!N5)/'Raw Counts'!N5)*100,"0.0")&amp;"%"</f>
        <v>80.0% +/- 6.3%</v>
      </c>
      <c r="H5" s="0" t="str">
        <f aca="false">TEXT('Raw Counts'!G5/'Raw Counts'!O5*100,"0.0")&amp;"% +/- "&amp;TEXT(SQRT(('Raw Counts'!G5/'Raw Counts'!O5)*(1-'Raw Counts'!G5/'Raw Counts'!O5)/'Raw Counts'!O5)*100,"0.0")&amp;"%"</f>
        <v>55.0% +/- 7.9%</v>
      </c>
      <c r="I5" s="0" t="str">
        <f aca="false">TEXT('Raw Counts'!H5/'Raw Counts'!P5*100,"0.0")&amp;"% +/- "&amp;TEXT(SQRT(('Raw Counts'!H5/'Raw Counts'!P5)*(1-'Raw Counts'!H5/'Raw Counts'!P5)/'Raw Counts'!P5)*100,"0.0")&amp;"%"</f>
        <v>92.5% +/- 4.2%</v>
      </c>
      <c r="J5" s="0" t="str">
        <f aca="false">TEXT('Raw Counts'!I5/'Raw Counts'!Q5*100,"0.0")&amp;"% +/- "&amp;TEXT(SQRT(('Raw Counts'!I5/'Raw Counts'!Q5)*(1-'Raw Counts'!I5/'Raw Counts'!Q5)/'Raw Counts'!Q5)*100,"0.0")&amp;"%"</f>
        <v>100.0% +/- 0.0%</v>
      </c>
      <c r="K5" s="10" t="n">
        <f aca="false">SUM('Raw Counts'!B5:I5)/SUM('Raw Counts'!J5:Q5)*100</f>
        <v>78.4375</v>
      </c>
      <c r="L5" s="10" t="n">
        <f aca="false">SQRT((SUM('Raw Counts'!B5:I5)/SUM('Raw Counts'!J5:Q5))*(1-SUM('Raw Counts'!B5:I5)/SUM('Raw Counts'!J5:Q5))/SUM('Raw Counts'!J5:Q5))*100</f>
        <v>2.2989865931468</v>
      </c>
      <c r="M5" s="0" t="n">
        <f aca="false">SUM('Raw Counts'!J5:Q5)</f>
        <v>320</v>
      </c>
    </row>
    <row r="6" customFormat="false" ht="15" hidden="false" customHeight="false" outlineLevel="0" collapsed="false">
      <c r="A6" s="0" t="s">
        <v>36</v>
      </c>
      <c r="B6" s="0" t="n">
        <v>784</v>
      </c>
      <c r="C6" s="0" t="str">
        <f aca="false">TEXT('Raw Counts'!B6/'Raw Counts'!J6*100,"0.0")&amp;"% +/- "&amp;TEXT(SQRT(('Raw Counts'!B6/'Raw Counts'!J6)*(1-'Raw Counts'!B6/'Raw Counts'!J6)/'Raw Counts'!J6)*100,"0.0")&amp;"%"</f>
        <v>47.5% +/- 7.9%</v>
      </c>
      <c r="D6" s="0" t="str">
        <f aca="false">TEXT('Raw Counts'!C6/'Raw Counts'!K6*100,"0.0")&amp;"% +/- "&amp;TEXT(SQRT(('Raw Counts'!C6/'Raw Counts'!K6)*(1-'Raw Counts'!C6/'Raw Counts'!K6)/'Raw Counts'!K6)*100,"0.0")&amp;"%"</f>
        <v>60.0% +/- 7.7%</v>
      </c>
      <c r="E6" s="0" t="str">
        <f aca="false">TEXT('Raw Counts'!D6/'Raw Counts'!L6*100,"0.0")&amp;"% +/- "&amp;TEXT(SQRT(('Raw Counts'!D6/'Raw Counts'!L6)*(1-'Raw Counts'!D6/'Raw Counts'!L6)/'Raw Counts'!L6)*100,"0.0")&amp;"%"</f>
        <v>50.0% +/- 7.9%</v>
      </c>
      <c r="F6" s="0" t="str">
        <f aca="false">TEXT('Raw Counts'!E6/'Raw Counts'!M6*100,"0.0")&amp;"% +/- "&amp;TEXT(SQRT(('Raw Counts'!E6/'Raw Counts'!M6)*(1-'Raw Counts'!E6/'Raw Counts'!M6)/'Raw Counts'!M6)*100,"0.0")&amp;"%"</f>
        <v>97.5% +/- 2.5%</v>
      </c>
      <c r="G6" s="0" t="str">
        <f aca="false">TEXT('Raw Counts'!F6/'Raw Counts'!N6*100,"0.0")&amp;"% +/- "&amp;TEXT(SQRT(('Raw Counts'!F6/'Raw Counts'!N6)*(1-'Raw Counts'!F6/'Raw Counts'!N6)/'Raw Counts'!N6)*100,"0.0")&amp;"%"</f>
        <v>97.5% +/- 2.5%</v>
      </c>
      <c r="H6" s="0" t="str">
        <f aca="false">TEXT('Raw Counts'!G6/'Raw Counts'!O6*100,"0.0")&amp;"% +/- "&amp;TEXT(SQRT(('Raw Counts'!G6/'Raw Counts'!O6)*(1-'Raw Counts'!G6/'Raw Counts'!O6)/'Raw Counts'!O6)*100,"0.0")&amp;"%"</f>
        <v>40.0% +/- 7.7%</v>
      </c>
      <c r="I6" s="0" t="str">
        <f aca="false">TEXT('Raw Counts'!H6/'Raw Counts'!P6*100,"0.0")&amp;"% +/- "&amp;TEXT(SQRT(('Raw Counts'!H6/'Raw Counts'!P6)*(1-'Raw Counts'!H6/'Raw Counts'!P6)/'Raw Counts'!P6)*100,"0.0")&amp;"%"</f>
        <v>97.5% +/- 2.5%</v>
      </c>
      <c r="J6" s="0" t="str">
        <f aca="false">TEXT('Raw Counts'!I6/'Raw Counts'!Q6*100,"0.0")&amp;"% +/- "&amp;TEXT(SQRT(('Raw Counts'!I6/'Raw Counts'!Q6)*(1-'Raw Counts'!I6/'Raw Counts'!Q6)/'Raw Counts'!Q6)*100,"0.0")&amp;"%"</f>
        <v>100.0% +/- 0.0%</v>
      </c>
      <c r="K6" s="10" t="n">
        <f aca="false">SUM('Raw Counts'!B6:I6)/SUM('Raw Counts'!J6:Q6)*100</f>
        <v>73.75</v>
      </c>
      <c r="L6" s="10" t="n">
        <f aca="false">SQRT((SUM('Raw Counts'!B6:I6)/SUM('Raw Counts'!J6:Q6))*(1-SUM('Raw Counts'!B6:I6)/SUM('Raw Counts'!J6:Q6))/SUM('Raw Counts'!J6:Q6))*100</f>
        <v>2.4596350720178</v>
      </c>
      <c r="M6" s="0" t="n">
        <f aca="false">SUM('Raw Counts'!J6:Q6)</f>
        <v>320</v>
      </c>
    </row>
    <row r="7" customFormat="false" ht="15" hidden="false" customHeight="false" outlineLevel="0" collapsed="false">
      <c r="A7" s="0" t="s">
        <v>37</v>
      </c>
      <c r="B7" s="0" t="n">
        <v>625</v>
      </c>
      <c r="C7" s="0" t="str">
        <f aca="false">TEXT('Raw Counts'!B7/'Raw Counts'!J7*100,"0.0")&amp;"% +/- "&amp;TEXT(SQRT(('Raw Counts'!B7/'Raw Counts'!J7)*(1-'Raw Counts'!B7/'Raw Counts'!J7)/'Raw Counts'!J7)*100,"0.0")&amp;"%"</f>
        <v>65.0% +/- 7.5%</v>
      </c>
      <c r="D7" s="0" t="str">
        <f aca="false">TEXT('Raw Counts'!C7/'Raw Counts'!K7*100,"0.0")&amp;"% +/- "&amp;TEXT(SQRT(('Raw Counts'!C7/'Raw Counts'!K7)*(1-'Raw Counts'!C7/'Raw Counts'!K7)/'Raw Counts'!K7)*100,"0.0")&amp;"%"</f>
        <v>85.0% +/- 5.6%</v>
      </c>
      <c r="E7" s="0" t="str">
        <f aca="false">TEXT('Raw Counts'!D7/'Raw Counts'!L7*100,"0.0")&amp;"% +/- "&amp;TEXT(SQRT(('Raw Counts'!D7/'Raw Counts'!L7)*(1-'Raw Counts'!D7/'Raw Counts'!L7)/'Raw Counts'!L7)*100,"0.0")&amp;"%"</f>
        <v>37.5% +/- 7.7%</v>
      </c>
      <c r="F7" s="0" t="str">
        <f aca="false">TEXT('Raw Counts'!E7/'Raw Counts'!M7*100,"0.0")&amp;"% +/- "&amp;TEXT(SQRT(('Raw Counts'!E7/'Raw Counts'!M7)*(1-'Raw Counts'!E7/'Raw Counts'!M7)/'Raw Counts'!M7)*100,"0.0")&amp;"%"</f>
        <v>100.0% +/- 0.0%</v>
      </c>
      <c r="G7" s="0" t="str">
        <f aca="false">TEXT('Raw Counts'!F7/'Raw Counts'!N7*100,"0.0")&amp;"% +/- "&amp;TEXT(SQRT(('Raw Counts'!F7/'Raw Counts'!N7)*(1-'Raw Counts'!F7/'Raw Counts'!N7)/'Raw Counts'!N7)*100,"0.0")&amp;"%"</f>
        <v>75.0% +/- 6.8%</v>
      </c>
      <c r="H7" s="0" t="str">
        <f aca="false">TEXT('Raw Counts'!G7/'Raw Counts'!O7*100,"0.0")&amp;"% +/- "&amp;TEXT(SQRT(('Raw Counts'!G7/'Raw Counts'!O7)*(1-'Raw Counts'!G7/'Raw Counts'!O7)/'Raw Counts'!O7)*100,"0.0")&amp;"%"</f>
        <v>52.5% +/- 7.9%</v>
      </c>
      <c r="I7" s="0" t="str">
        <f aca="false">TEXT('Raw Counts'!H7/'Raw Counts'!P7*100,"0.0")&amp;"% +/- "&amp;TEXT(SQRT(('Raw Counts'!H7/'Raw Counts'!P7)*(1-'Raw Counts'!H7/'Raw Counts'!P7)/'Raw Counts'!P7)*100,"0.0")&amp;"%"</f>
        <v>55.0% +/- 7.9%</v>
      </c>
      <c r="J7" s="0" t="str">
        <f aca="false">TEXT('Raw Counts'!I7/'Raw Counts'!Q7*100,"0.0")&amp;"% +/- "&amp;TEXT(SQRT(('Raw Counts'!I7/'Raw Counts'!Q7)*(1-'Raw Counts'!I7/'Raw Counts'!Q7)/'Raw Counts'!Q7)*100,"0.0")&amp;"%"</f>
        <v>97.5% +/- 2.5%</v>
      </c>
      <c r="K7" s="10" t="n">
        <f aca="false">SUM('Raw Counts'!B7:I7)/SUM('Raw Counts'!J7:Q7)*100</f>
        <v>70.9375</v>
      </c>
      <c r="L7" s="10" t="n">
        <f aca="false">SQRT((SUM('Raw Counts'!B7:I7)/SUM('Raw Counts'!J7:Q7))*(1-SUM('Raw Counts'!B7:I7)/SUM('Raw Counts'!J7:Q7))/SUM('Raw Counts'!J7:Q7))*100</f>
        <v>2.53822101440532</v>
      </c>
      <c r="M7" s="0" t="n">
        <f aca="false">SUM('Raw Counts'!J7:Q7)</f>
        <v>320</v>
      </c>
    </row>
    <row r="8" customFormat="false" ht="15" hidden="false" customHeight="false" outlineLevel="0" collapsed="false">
      <c r="A8" s="0" t="s">
        <v>38</v>
      </c>
      <c r="B8" s="0" t="n">
        <v>600</v>
      </c>
      <c r="C8" s="0" t="str">
        <f aca="false">TEXT('Raw Counts'!B8/'Raw Counts'!J8*100,"0.0")&amp;"% +/- "&amp;TEXT(SQRT(('Raw Counts'!B8/'Raw Counts'!J8)*(1-'Raw Counts'!B8/'Raw Counts'!J8)/'Raw Counts'!J8)*100,"0.0")&amp;"%"</f>
        <v>10.0% +/- 4.7%</v>
      </c>
      <c r="D8" s="0" t="str">
        <f aca="false">TEXT('Raw Counts'!C8/'Raw Counts'!K8*100,"0.0")&amp;"% +/- "&amp;TEXT(SQRT(('Raw Counts'!C8/'Raw Counts'!K8)*(1-'Raw Counts'!C8/'Raw Counts'!K8)/'Raw Counts'!K8)*100,"0.0")&amp;"%"</f>
        <v>20.0% +/- 6.3%</v>
      </c>
      <c r="E8" s="0" t="str">
        <f aca="false">TEXT('Raw Counts'!D8/'Raw Counts'!L8*100,"0.0")&amp;"% +/- "&amp;TEXT(SQRT(('Raw Counts'!D8/'Raw Counts'!L8)*(1-'Raw Counts'!D8/'Raw Counts'!L8)/'Raw Counts'!L8)*100,"0.0")&amp;"%"</f>
        <v>22.5% +/- 6.6%</v>
      </c>
      <c r="F8" s="0" t="str">
        <f aca="false">TEXT('Raw Counts'!E8/'Raw Counts'!M8*100,"0.0")&amp;"% +/- "&amp;TEXT(SQRT(('Raw Counts'!E8/'Raw Counts'!M8)*(1-'Raw Counts'!E8/'Raw Counts'!M8)/'Raw Counts'!M8)*100,"0.0")&amp;"%"</f>
        <v>90.0% +/- 4.7%</v>
      </c>
      <c r="G8" s="0" t="str">
        <f aca="false">TEXT('Raw Counts'!F8/'Raw Counts'!N8*100,"0.0")&amp;"% +/- "&amp;TEXT(SQRT(('Raw Counts'!F8/'Raw Counts'!N8)*(1-'Raw Counts'!F8/'Raw Counts'!N8)/'Raw Counts'!N8)*100,"0.0")&amp;"%"</f>
        <v>67.5% +/- 7.4%</v>
      </c>
      <c r="H8" s="0" t="str">
        <f aca="false">TEXT('Raw Counts'!G8/'Raw Counts'!O8*100,"0.0")&amp;"% +/- "&amp;TEXT(SQRT(('Raw Counts'!G8/'Raw Counts'!O8)*(1-'Raw Counts'!G8/'Raw Counts'!O8)/'Raw Counts'!O8)*100,"0.0")&amp;"%"</f>
        <v>10.0% +/- 4.7%</v>
      </c>
      <c r="I8" s="0" t="str">
        <f aca="false">TEXT('Raw Counts'!H8/'Raw Counts'!P8*100,"0.0")&amp;"% +/- "&amp;TEXT(SQRT(('Raw Counts'!H8/'Raw Counts'!P8)*(1-'Raw Counts'!H8/'Raw Counts'!P8)/'Raw Counts'!P8)*100,"0.0")&amp;"%"</f>
        <v>47.5% +/- 7.9%</v>
      </c>
      <c r="J8" s="0" t="str">
        <f aca="false">TEXT('Raw Counts'!I8/'Raw Counts'!Q8*100,"0.0")&amp;"% +/- "&amp;TEXT(SQRT(('Raw Counts'!I8/'Raw Counts'!Q8)*(1-'Raw Counts'!I8/'Raw Counts'!Q8)/'Raw Counts'!Q8)*100,"0.0")&amp;"%"</f>
        <v>92.5% +/- 4.2%</v>
      </c>
      <c r="K8" s="10" t="n">
        <f aca="false">SUM('Raw Counts'!B8:I8)/SUM('Raw Counts'!J8:Q8)*100</f>
        <v>45</v>
      </c>
      <c r="L8" s="10" t="n">
        <f aca="false">SQRT((SUM('Raw Counts'!B8:I8)/SUM('Raw Counts'!J8:Q8))*(1-SUM('Raw Counts'!B8:I8)/SUM('Raw Counts'!J8:Q8))/SUM('Raw Counts'!J8:Q8))*100</f>
        <v>2.78107443266087</v>
      </c>
      <c r="M8" s="0" t="n">
        <f aca="false">SUM('Raw Counts'!J8:Q8)</f>
        <v>320</v>
      </c>
    </row>
    <row r="10" customFormat="false" ht="15" hidden="false" customHeight="false" outlineLevel="0" collapsed="false">
      <c r="A10" s="8" t="s">
        <v>96</v>
      </c>
    </row>
    <row r="11" customFormat="false" ht="15" hidden="false" customHeight="false" outlineLevel="0" collapsed="false">
      <c r="A11" s="8" t="s">
        <v>97</v>
      </c>
    </row>
    <row r="12" customFormat="false" ht="15" hidden="false" customHeight="false" outlineLevel="0" collapsed="false">
      <c r="A12" s="8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</cols>
  <sheetData>
    <row r="1" customFormat="false" ht="64.9" hidden="false" customHeight="false" outlineLevel="0" collapsed="false">
      <c r="A1" s="9" t="s">
        <v>86</v>
      </c>
      <c r="B1" s="9" t="s">
        <v>99</v>
      </c>
      <c r="C1" s="9" t="s">
        <v>100</v>
      </c>
      <c r="D1" s="9" t="s">
        <v>101</v>
      </c>
      <c r="E1" s="9" t="s">
        <v>102</v>
      </c>
      <c r="F1" s="9" t="s">
        <v>103</v>
      </c>
      <c r="G1" s="9" t="s">
        <v>104</v>
      </c>
    </row>
    <row r="2" customFormat="false" ht="15" hidden="false" customHeight="false" outlineLevel="0" collapsed="false">
      <c r="A2" s="0" t="s">
        <v>34</v>
      </c>
      <c r="B2" s="0" t="n">
        <v>78.4</v>
      </c>
      <c r="C2" s="0" t="n">
        <v>1</v>
      </c>
      <c r="D2" s="0" t="n">
        <v>0.797</v>
      </c>
      <c r="E2" s="0" t="n">
        <v>1</v>
      </c>
      <c r="F2" s="0" t="n">
        <v>0.537</v>
      </c>
      <c r="G2" s="0" t="s">
        <v>105</v>
      </c>
    </row>
    <row r="3" customFormat="false" ht="15" hidden="false" customHeight="false" outlineLevel="0" collapsed="false">
      <c r="A3" s="0" t="s">
        <v>36</v>
      </c>
      <c r="B3" s="0" t="n">
        <v>73.8</v>
      </c>
      <c r="C3" s="0" t="n">
        <v>2</v>
      </c>
      <c r="D3" s="0" t="n">
        <v>0.693</v>
      </c>
      <c r="E3" s="0" t="n">
        <v>4</v>
      </c>
      <c r="F3" s="0" t="n">
        <v>0.709</v>
      </c>
      <c r="G3" s="0" t="s">
        <v>105</v>
      </c>
    </row>
    <row r="4" customFormat="false" ht="15" hidden="false" customHeight="false" outlineLevel="0" collapsed="false">
      <c r="A4" s="0" t="s">
        <v>37</v>
      </c>
      <c r="B4" s="0" t="n">
        <v>70.9</v>
      </c>
      <c r="C4" s="0" t="n">
        <v>3</v>
      </c>
      <c r="D4" s="0" t="n">
        <v>0.655</v>
      </c>
      <c r="E4" s="0" t="n">
        <v>6</v>
      </c>
      <c r="F4" s="0" t="n">
        <v>0.878</v>
      </c>
      <c r="G4" s="0" t="s">
        <v>105</v>
      </c>
    </row>
    <row r="5" customFormat="false" ht="15" hidden="false" customHeight="false" outlineLevel="0" collapsed="false">
      <c r="A5" s="0" t="s">
        <v>35</v>
      </c>
      <c r="B5" s="0" t="n">
        <v>67.8</v>
      </c>
      <c r="C5" s="0" t="n">
        <v>4</v>
      </c>
      <c r="D5" s="0" t="n">
        <v>0.767</v>
      </c>
      <c r="E5" s="0" t="n">
        <v>2</v>
      </c>
      <c r="F5" s="0" t="n">
        <v>0.693</v>
      </c>
      <c r="G5" s="0" t="s">
        <v>105</v>
      </c>
    </row>
    <row r="6" customFormat="false" ht="15" hidden="false" customHeight="false" outlineLevel="0" collapsed="false">
      <c r="A6" s="0" t="s">
        <v>39</v>
      </c>
      <c r="B6" s="0" t="n">
        <v>58.8</v>
      </c>
      <c r="C6" s="0" t="n">
        <v>5</v>
      </c>
      <c r="D6" s="0" t="n">
        <v>0.687</v>
      </c>
      <c r="E6" s="0" t="n">
        <v>5</v>
      </c>
      <c r="F6" s="0" t="n">
        <v>0.733</v>
      </c>
      <c r="G6" s="0" t="s">
        <v>105</v>
      </c>
    </row>
    <row r="7" customFormat="false" ht="15" hidden="false" customHeight="false" outlineLevel="0" collapsed="false">
      <c r="A7" s="0" t="s">
        <v>38</v>
      </c>
      <c r="B7" s="0" t="n">
        <v>45</v>
      </c>
      <c r="C7" s="0" t="n">
        <v>6</v>
      </c>
      <c r="D7" s="0" t="n">
        <v>0.765</v>
      </c>
      <c r="E7" s="0" t="n">
        <v>3</v>
      </c>
      <c r="F7" s="0" t="n">
        <v>0.698</v>
      </c>
      <c r="G7" s="0" t="s">
        <v>105</v>
      </c>
    </row>
    <row r="9" customFormat="false" ht="15" hidden="false" customHeight="false" outlineLevel="0" collapsed="false">
      <c r="A9" s="3" t="s">
        <v>106</v>
      </c>
    </row>
    <row r="10" customFormat="false" ht="15" hidden="false" customHeight="false" outlineLevel="0" collapsed="false">
      <c r="A10" s="5" t="s">
        <v>107</v>
      </c>
    </row>
    <row r="11" customFormat="false" ht="15" hidden="false" customHeight="false" outlineLevel="0" collapsed="false">
      <c r="A11" s="5" t="s">
        <v>108</v>
      </c>
    </row>
    <row r="12" customFormat="false" ht="15" hidden="false" customHeight="false" outlineLevel="0" collapsed="false">
      <c r="A12" s="8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2026-08-02T19:18:34Z</dcterms:created>
  <dc:creator>openpyxl</dc:creator>
  <dc:description/>
  <dc:language>en-US</dc:language>
  <cp:lastModifiedBy/>
  <dcterms:modified xsi:type="dcterms:W3CDTF">2026-08-02T19:18:34Z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